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mc:AlternateContent xmlns:mc="http://schemas.openxmlformats.org/markup-compatibility/2006">
    <mc:Choice Requires="x15">
      <x15ac:absPath xmlns:x15ac="http://schemas.microsoft.com/office/spreadsheetml/2010/11/ac" url="https://kennesawedu.sharepoint.com/sites/Team-IT7993-P12-SmartResumeScreeningGroup1/Shared Documents/General/Project Plan &amp; Gantt Chart/"/>
    </mc:Choice>
  </mc:AlternateContent>
  <xr:revisionPtr revIDLastSave="88" documentId="8_{EAAC5DBE-3D42-4AD9-8EF2-5F897CEBFCE5}" xr6:coauthVersionLast="47" xr6:coauthVersionMax="47" xr10:uidLastSave="{0D175FFE-311B-4F25-A4A9-C2AF1A6FC862}"/>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schedule'!$4:$5</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11" l="1"/>
  <c r="F40" i="11" s="1"/>
  <c r="E39" i="11"/>
  <c r="E42" i="11"/>
  <c r="F42" i="11" s="1"/>
  <c r="E41" i="11"/>
  <c r="E38" i="11"/>
  <c r="E37" i="11"/>
  <c r="E36" i="11"/>
  <c r="F35" i="11"/>
  <c r="E35" i="11"/>
  <c r="F34" i="11"/>
  <c r="E34" i="11"/>
  <c r="H34" i="11" s="1"/>
  <c r="E31" i="11"/>
  <c r="E32" i="11"/>
  <c r="F32" i="11" s="1"/>
  <c r="E30" i="11"/>
  <c r="E29" i="11"/>
  <c r="E27" i="11"/>
  <c r="E26" i="11"/>
  <c r="E20" i="11"/>
  <c r="E22" i="11"/>
  <c r="E24" i="11"/>
  <c r="F24" i="11" s="1"/>
  <c r="E23" i="11"/>
  <c r="F20" i="11"/>
  <c r="E18" i="11"/>
  <c r="E17" i="11"/>
  <c r="E15" i="11"/>
  <c r="E14" i="11"/>
  <c r="F14" i="11" s="1"/>
  <c r="E10" i="11"/>
  <c r="F10" i="11" s="1"/>
  <c r="Q1" i="11"/>
  <c r="E11" i="11" s="1"/>
  <c r="H6" i="11"/>
  <c r="F39" i="11" l="1"/>
  <c r="H39" i="11" s="1"/>
  <c r="F41" i="11"/>
  <c r="H41" i="11" s="1"/>
  <c r="H40" i="11"/>
  <c r="F38" i="11"/>
  <c r="H38" i="11" s="1"/>
  <c r="F37" i="11"/>
  <c r="H37" i="11" s="1"/>
  <c r="F36" i="11"/>
  <c r="H36" i="11" s="1"/>
  <c r="F31" i="11"/>
  <c r="H31" i="11" s="1"/>
  <c r="F30" i="11"/>
  <c r="H30" i="11" s="1"/>
  <c r="F29" i="11"/>
  <c r="H29" i="11" s="1"/>
  <c r="F27" i="11"/>
  <c r="H27" i="11" s="1"/>
  <c r="F26" i="11"/>
  <c r="H26" i="11" s="1"/>
  <c r="F23" i="11"/>
  <c r="E25" i="11"/>
  <c r="F11" i="11"/>
  <c r="H11" i="11" s="1"/>
  <c r="E9" i="11"/>
  <c r="F9" i="11" s="1"/>
  <c r="E8" i="11"/>
  <c r="H9" i="11"/>
  <c r="F18" i="11"/>
  <c r="H18" i="11" s="1"/>
  <c r="F17" i="11"/>
  <c r="H17" i="11" s="1"/>
  <c r="F15" i="11"/>
  <c r="H15" i="11" s="1"/>
  <c r="E12" i="11"/>
  <c r="F12" i="11" s="1"/>
  <c r="F25" i="11" l="1"/>
  <c r="H25" i="11" s="1"/>
  <c r="F8" i="11"/>
  <c r="H8" i="11" s="1"/>
  <c r="E13" i="11"/>
  <c r="F13" i="11" s="1"/>
  <c r="I4" i="11"/>
  <c r="H7" i="11"/>
  <c r="H12" i="11" l="1"/>
  <c r="I5" i="11"/>
  <c r="F22" i="11" l="1"/>
  <c r="H13" i="11"/>
  <c r="H35" i="11"/>
  <c r="H21" i="11"/>
  <c r="H20" i="11"/>
  <c r="J4" i="11"/>
  <c r="K4" i="11" s="1"/>
  <c r="L4" i="11" s="1"/>
  <c r="M4" i="11" s="1"/>
  <c r="N4" i="11" s="1"/>
  <c r="O4" i="11" s="1"/>
  <c r="P4" i="11" s="1"/>
  <c r="H22" i="11" l="1"/>
  <c r="H14" i="11"/>
  <c r="H10" i="11"/>
  <c r="Q4" i="11"/>
  <c r="R4" i="11" s="1"/>
  <c r="S4" i="11" s="1"/>
  <c r="T4" i="11" s="1"/>
  <c r="U4" i="11" s="1"/>
  <c r="V4" i="11" s="1"/>
  <c r="W4" i="11" s="1"/>
  <c r="J5" i="11"/>
  <c r="H42" i="11" l="1"/>
  <c r="H23" i="11"/>
  <c r="X4" i="11"/>
  <c r="Y4" i="11" s="1"/>
  <c r="Z4" i="11" s="1"/>
  <c r="AA4" i="11" s="1"/>
  <c r="AB4" i="11" s="1"/>
  <c r="AC4" i="11" s="1"/>
  <c r="AD4" i="11" s="1"/>
  <c r="K5" i="11"/>
  <c r="H33" i="11" l="1"/>
  <c r="H24" i="11"/>
  <c r="H32" i="11"/>
  <c r="AE4" i="11"/>
  <c r="AF4" i="11" s="1"/>
  <c r="AG4" i="11" s="1"/>
  <c r="AH4" i="11" s="1"/>
  <c r="AI4" i="11" s="1"/>
  <c r="AJ4" i="11" s="1"/>
  <c r="L5" i="11"/>
  <c r="AK4" i="11" l="1"/>
  <c r="AL4" i="11" s="1"/>
  <c r="AM4" i="11" s="1"/>
  <c r="AN4" i="11" s="1"/>
  <c r="AO4" i="11" s="1"/>
  <c r="AP4" i="11" s="1"/>
  <c r="AQ4" i="11" s="1"/>
  <c r="M5" i="11"/>
  <c r="AR4" i="11" l="1"/>
  <c r="AS4" i="11" s="1"/>
  <c r="N5" i="11"/>
  <c r="AT4" i="11" l="1"/>
  <c r="AS5" i="11"/>
  <c r="O5" i="11"/>
  <c r="AU4" i="11" l="1"/>
  <c r="AT5" i="11"/>
  <c r="AV4" i="11" l="1"/>
  <c r="AU5" i="11"/>
  <c r="P5" i="11"/>
  <c r="Q5" i="11"/>
  <c r="AW4" i="11" l="1"/>
  <c r="AV5" i="11"/>
  <c r="R5" i="11"/>
  <c r="AX4" i="11" l="1"/>
  <c r="AY4" i="11" s="1"/>
  <c r="AW5" i="11"/>
  <c r="S5" i="11"/>
  <c r="AY5" i="11" l="1"/>
  <c r="AZ4" i="11"/>
  <c r="AX5" i="11"/>
  <c r="T5" i="11"/>
  <c r="BA4" i="11" l="1"/>
  <c r="AZ5" i="11"/>
  <c r="U5" i="11"/>
  <c r="BA5" i="11" l="1"/>
  <c r="BB4" i="11"/>
  <c r="V5" i="11"/>
  <c r="BB5" i="11" l="1"/>
  <c r="BC4" i="11"/>
  <c r="W5" i="11"/>
  <c r="BC5" i="11" l="1"/>
  <c r="BD4" i="11"/>
  <c r="X5" i="11"/>
  <c r="BE4" i="11" l="1"/>
  <c r="BD5" i="11"/>
  <c r="Y5" i="11"/>
  <c r="BE5" i="11" l="1"/>
  <c r="BF4" i="11"/>
  <c r="Z5" i="11"/>
  <c r="BF5" i="11" l="1"/>
  <c r="BG4" i="11"/>
  <c r="AA5" i="11"/>
  <c r="BG5" i="11" l="1"/>
  <c r="BH4" i="11"/>
  <c r="AB5" i="11"/>
  <c r="BI4" i="11" l="1"/>
  <c r="BH5" i="11"/>
  <c r="AC5" i="11"/>
  <c r="BJ4" i="11" l="1"/>
  <c r="BI5" i="11"/>
  <c r="AD5" i="11"/>
  <c r="BK4" i="11" l="1"/>
  <c r="BJ5" i="11"/>
  <c r="AE5" i="11"/>
  <c r="BL4" i="11" l="1"/>
  <c r="BK5" i="11"/>
  <c r="AF5" i="11"/>
  <c r="BL5" i="11" l="1"/>
  <c r="AG5" i="11"/>
  <c r="AH5" i="11" l="1"/>
  <c r="AI5" i="11" l="1"/>
  <c r="AJ5" i="11" l="1"/>
  <c r="AK5" i="11" l="1"/>
  <c r="AL5" i="11" l="1"/>
  <c r="AM5" i="11" l="1"/>
  <c r="AN5" i="11" l="1"/>
  <c r="AO5" i="11" l="1"/>
  <c r="AP5" i="11" l="1"/>
  <c r="AQ5" i="11" l="1"/>
  <c r="AR5" i="11" l="1"/>
</calcChain>
</file>

<file path=xl/sharedStrings.xml><?xml version="1.0" encoding="utf-8"?>
<sst xmlns="http://schemas.openxmlformats.org/spreadsheetml/2006/main" count="93" uniqueCount="69">
  <si>
    <t>Capstone project</t>
  </si>
  <si>
    <t>Project start:</t>
  </si>
  <si>
    <t>Smart Screening Resume</t>
  </si>
  <si>
    <t>Display week:</t>
  </si>
  <si>
    <t>TASK</t>
  </si>
  <si>
    <t>ASSIGNED TO</t>
  </si>
  <si>
    <t>PROGRESS</t>
  </si>
  <si>
    <t>START</t>
  </si>
  <si>
    <t>END</t>
  </si>
  <si>
    <t xml:space="preserve">Do not delete this row. This row is hidden to preserve a formula that is used to highlight the current day within the project schedule. </t>
  </si>
  <si>
    <t>Milestone 1 - By 2/22/2026</t>
  </si>
  <si>
    <t>Project Planning &amp; Alignment</t>
  </si>
  <si>
    <t>Loreli</t>
  </si>
  <si>
    <t>Functional Requirements Definition</t>
  </si>
  <si>
    <t>UX Wireframe Design</t>
  </si>
  <si>
    <t>Kawanda</t>
  </si>
  <si>
    <t>GitHub Repository Setup</t>
  </si>
  <si>
    <t>Recruiter Dashboard Design</t>
  </si>
  <si>
    <t>Formal Requirements Document Draft</t>
  </si>
  <si>
    <t>Loreli &amp; Birttany</t>
  </si>
  <si>
    <t>Tech Stack Decision &amp; Justification</t>
  </si>
  <si>
    <t>Hanzhi</t>
  </si>
  <si>
    <t>System Data Model Design</t>
  </si>
  <si>
    <t>Tomas</t>
  </si>
  <si>
    <t>System Architecture Diagram</t>
  </si>
  <si>
    <t>Reqirements Finalization</t>
  </si>
  <si>
    <t>Brittany</t>
  </si>
  <si>
    <t>Gantt Chart Revision</t>
  </si>
  <si>
    <t>Brittany &amp; Hanzhi</t>
  </si>
  <si>
    <t>Dashboard Design</t>
  </si>
  <si>
    <t>Team</t>
  </si>
  <si>
    <t>Milestone 1 Submission</t>
  </si>
  <si>
    <t>All Team</t>
  </si>
  <si>
    <t>Milestone 2 - By 3/22/2026</t>
  </si>
  <si>
    <t>Resume Ingestion &amp; Parsing Implementation</t>
  </si>
  <si>
    <t>Semantic Matching Design</t>
  </si>
  <si>
    <t>Semantic Matching Backend Implementation</t>
  </si>
  <si>
    <t>Candidate Ranking Algorithm Design</t>
  </si>
  <si>
    <t>Interview Question Module Integration</t>
  </si>
  <si>
    <t>Dashboard Code &amp; Design</t>
  </si>
  <si>
    <t>End-to-End Workflow Integration</t>
  </si>
  <si>
    <t>Updated Documentation (M2)</t>
  </si>
  <si>
    <t>Mid-Semester Demo Coordination</t>
  </si>
  <si>
    <t>Milestone 2 Submission</t>
  </si>
  <si>
    <t>Execution</t>
  </si>
  <si>
    <t>Bias Mitigation Testing</t>
  </si>
  <si>
    <t>Explainability Verification</t>
  </si>
  <si>
    <t>System Optimization &amp; Performance Tuning</t>
  </si>
  <si>
    <t>UI Refinement &amp; Improvements</t>
  </si>
  <si>
    <t>System Architecture Diagrams</t>
  </si>
  <si>
    <t>Final Documentation Compilation</t>
  </si>
  <si>
    <t>Brittany &amp; Loreli</t>
  </si>
  <si>
    <t>GitHub Repository Final Cleanup</t>
  </si>
  <si>
    <t>Final Demo Walkthrough</t>
  </si>
  <si>
    <t>Final Submission</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</si>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</sst>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m/d/yy;@"/>
    <numFmt numFmtId="165" formatCode="ddd\,\ m/d/yyyy"/>
    <numFmt numFmtId="166" formatCode="d"/>
  </numFmts>
  <fonts count="35">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9"/>
      <color theme="1"/>
      <name val="Arial"/>
      <family val="2"/>
      <scheme val="minor"/>
    </font>
    <font>
      <sz val="9"/>
      <color rgb="FF000000"/>
      <name val="Arial"/>
      <scheme val="minor"/>
    </font>
    <font>
      <b/>
      <sz val="12"/>
      <color rgb="FF6528F7"/>
      <name val="Arial"/>
      <scheme val="minor"/>
    </font>
    <font>
      <b/>
      <sz val="12"/>
      <color rgb="FF1363DF"/>
      <name val="Arial"/>
      <scheme val="minor"/>
    </font>
    <font>
      <b/>
      <sz val="12"/>
      <color rgb="FFD800A6"/>
      <name val="Arial"/>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1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166" fontId="21" fillId="10" borderId="16" xfId="0" applyNumberFormat="1" applyFont="1" applyFill="1" applyBorder="1" applyAlignment="1">
      <alignment horizontal="center" vertical="center"/>
    </xf>
    <xf numFmtId="166" fontId="21" fillId="10" borderId="14" xfId="0" applyNumberFormat="1" applyFont="1" applyFill="1" applyBorder="1" applyAlignment="1">
      <alignment horizontal="center" vertical="center"/>
    </xf>
    <xf numFmtId="166" fontId="21" fillId="10" borderId="15" xfId="0" applyNumberFormat="1" applyFont="1" applyFill="1" applyBorder="1" applyAlignment="1">
      <alignment horizontal="center" vertical="center"/>
    </xf>
    <xf numFmtId="0" fontId="22" fillId="2" borderId="13" xfId="0" applyFont="1" applyFill="1" applyBorder="1" applyAlignment="1">
      <alignment horizontal="center" vertical="center" shrinkToFit="1"/>
    </xf>
    <xf numFmtId="0" fontId="22" fillId="2" borderId="10" xfId="0" applyFont="1" applyFill="1" applyBorder="1" applyAlignment="1">
      <alignment horizontal="center" vertical="center" shrinkToFit="1"/>
    </xf>
    <xf numFmtId="0" fontId="22" fillId="2" borderId="11"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9" xfId="0" applyFont="1" applyBorder="1" applyAlignment="1">
      <alignment vertical="center"/>
    </xf>
    <xf numFmtId="0" fontId="4" fillId="0" borderId="0" xfId="0" applyFont="1" applyAlignment="1">
      <alignment vertical="center"/>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0" borderId="0" xfId="7" applyFont="1" applyAlignment="1">
      <alignment horizontal="left" vertical="center" indent="1"/>
    </xf>
    <xf numFmtId="0" fontId="27"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30" fillId="3" borderId="6" xfId="12" applyFont="1" applyFill="1" applyBorder="1">
      <alignment horizontal="left" vertical="center" indent="2"/>
    </xf>
    <xf numFmtId="0" fontId="30" fillId="3" borderId="7" xfId="12" applyFont="1" applyFill="1" applyBorder="1">
      <alignment horizontal="left" vertical="center" indent="2"/>
    </xf>
    <xf numFmtId="0" fontId="31" fillId="3" borderId="7" xfId="12" applyFont="1" applyFill="1" applyBorder="1">
      <alignment horizontal="left" vertical="center" indent="2"/>
    </xf>
    <xf numFmtId="0" fontId="32" fillId="6" borderId="0" xfId="0" applyFont="1" applyFill="1" applyAlignment="1">
      <alignment horizontal="left" vertical="center" indent="1"/>
    </xf>
    <xf numFmtId="0" fontId="33" fillId="0" borderId="0" xfId="6" applyFont="1" applyAlignment="1">
      <alignment horizontal="left" vertical="center" indent="1"/>
    </xf>
    <xf numFmtId="0" fontId="13" fillId="0" borderId="0" xfId="3" applyAlignment="1">
      <alignment wrapText="1"/>
    </xf>
    <xf numFmtId="0" fontId="31" fillId="4" borderId="5" xfId="12" applyFont="1" applyFill="1" applyBorder="1">
      <alignment horizontal="left" vertical="center" indent="2"/>
    </xf>
    <xf numFmtId="0" fontId="34" fillId="7" borderId="0" xfId="0" applyFont="1" applyFill="1" applyAlignment="1">
      <alignment horizontal="left" vertical="center" indent="1"/>
    </xf>
    <xf numFmtId="0" fontId="31" fillId="5" borderId="8" xfId="12" applyFont="1" applyFill="1" applyBorder="1">
      <alignment horizontal="left" vertical="center" indent="2"/>
    </xf>
    <xf numFmtId="0" fontId="30" fillId="5" borderId="8" xfId="12" applyFont="1" applyFill="1" applyBorder="1">
      <alignment horizontal="left" vertical="center" indent="2"/>
    </xf>
    <xf numFmtId="0" fontId="20" fillId="9" borderId="12" xfId="0" applyFont="1" applyFill="1" applyBorder="1" applyAlignment="1">
      <alignment horizontal="center" vertical="center"/>
    </xf>
    <xf numFmtId="0" fontId="25" fillId="0" borderId="0" xfId="0" applyFont="1" applyAlignment="1">
      <alignment horizontal="left"/>
    </xf>
    <xf numFmtId="165" fontId="25" fillId="0" borderId="0" xfId="9" applyFont="1" applyBorder="1" applyAlignment="1">
      <alignment horizontal="left"/>
    </xf>
    <xf numFmtId="0" fontId="24" fillId="0" borderId="0" xfId="8" applyFont="1" applyAlignment="1">
      <alignment horizontal="left"/>
    </xf>
    <xf numFmtId="0" fontId="13" fillId="0" borderId="0" xfId="3" applyAlignment="1">
      <alignment wrapText="1"/>
    </xf>
    <xf numFmtId="0" fontId="20" fillId="9" borderId="12" xfId="0" applyFont="1" applyFill="1" applyBorder="1" applyAlignment="1">
      <alignment horizontal="left" vertical="center" indent="1"/>
    </xf>
    <xf numFmtId="0" fontId="4" fillId="2" borderId="17" xfId="0" applyFont="1" applyFill="1" applyBorder="1" applyAlignment="1">
      <alignment horizontal="left" indent="1"/>
    </xf>
    <xf numFmtId="0" fontId="20" fillId="9" borderId="12" xfId="0" applyFont="1" applyFill="1" applyBorder="1" applyAlignment="1">
      <alignment vertical="center"/>
    </xf>
    <xf numFmtId="0" fontId="4" fillId="0" borderId="0" xfId="0" applyFont="1" applyAlignment="1"/>
    <xf numFmtId="0" fontId="26" fillId="0" borderId="0" xfId="0" applyFont="1" applyAlignment="1"/>
    <xf numFmtId="0" fontId="4" fillId="2" borderId="17"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5"/>
  <sheetViews>
    <sheetView showGridLines="0" tabSelected="1" showRuler="0" topLeftCell="A27" zoomScale="73" zoomScaleNormal="73" zoomScalePageLayoutView="70" workbookViewId="0">
      <selection activeCell="B34" sqref="B34"/>
    </sheetView>
  </sheetViews>
  <sheetFormatPr defaultColWidth="8.75" defaultRowHeight="30" customHeight="1"/>
  <cols>
    <col min="1" max="1" width="2.75" style="12" customWidth="1"/>
    <col min="2" max="2" width="35.875" customWidth="1"/>
    <col min="3" max="3" width="1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83"/>
      <c r="B1" s="70" t="s">
        <v>0</v>
      </c>
      <c r="C1" s="16"/>
      <c r="D1" s="17"/>
      <c r="E1" s="18"/>
      <c r="F1" s="19"/>
      <c r="H1" s="1"/>
      <c r="I1" s="91" t="s">
        <v>1</v>
      </c>
      <c r="J1" s="96"/>
      <c r="K1" s="96"/>
      <c r="L1" s="96"/>
      <c r="M1" s="96"/>
      <c r="N1" s="96"/>
      <c r="O1" s="96"/>
      <c r="P1" s="22"/>
      <c r="Q1" s="90">
        <f>DATE(2026,2,1)</f>
        <v>46054</v>
      </c>
      <c r="R1" s="97"/>
      <c r="S1" s="97"/>
      <c r="T1" s="97"/>
      <c r="U1" s="97"/>
      <c r="V1" s="97"/>
      <c r="W1" s="97"/>
      <c r="X1" s="97"/>
      <c r="Y1" s="97"/>
      <c r="Z1" s="97"/>
    </row>
    <row r="2" spans="1:64" ht="30" customHeight="1">
      <c r="B2" s="82" t="s">
        <v>2</v>
      </c>
      <c r="C2" s="69"/>
      <c r="D2" s="20"/>
      <c r="E2" s="21"/>
      <c r="F2" s="20"/>
      <c r="I2" s="91" t="s">
        <v>3</v>
      </c>
      <c r="J2" s="96"/>
      <c r="K2" s="96"/>
      <c r="L2" s="96"/>
      <c r="M2" s="96"/>
      <c r="N2" s="96"/>
      <c r="O2" s="96"/>
      <c r="P2" s="22"/>
      <c r="Q2" s="89">
        <v>2</v>
      </c>
      <c r="R2" s="97"/>
      <c r="S2" s="97"/>
      <c r="T2" s="97"/>
      <c r="U2" s="97"/>
      <c r="V2" s="97"/>
      <c r="W2" s="97"/>
      <c r="X2" s="97"/>
      <c r="Y2" s="97"/>
      <c r="Z2" s="97"/>
    </row>
    <row r="3" spans="1:64" s="24" customFormat="1" ht="30" customHeight="1">
      <c r="A3" s="12"/>
      <c r="B3" s="23"/>
      <c r="D3" s="25"/>
      <c r="E3" s="26"/>
    </row>
    <row r="4" spans="1:64" s="24" customFormat="1" ht="15" customHeight="1">
      <c r="A4" s="92"/>
      <c r="B4" s="93" t="s">
        <v>4</v>
      </c>
      <c r="C4" s="95" t="s">
        <v>5</v>
      </c>
      <c r="D4" s="88" t="s">
        <v>6</v>
      </c>
      <c r="E4" s="88" t="s">
        <v>7</v>
      </c>
      <c r="F4" s="88" t="s">
        <v>8</v>
      </c>
      <c r="I4" s="27">
        <f>Project_Start-WEEKDAY(Project_Start,1)+2+7*(Display_Week-1)</f>
        <v>46062</v>
      </c>
      <c r="J4" s="27">
        <f>I4+1</f>
        <v>46063</v>
      </c>
      <c r="K4" s="27">
        <f t="shared" ref="K4:AX4" si="0">J4+1</f>
        <v>46064</v>
      </c>
      <c r="L4" s="27">
        <f t="shared" si="0"/>
        <v>46065</v>
      </c>
      <c r="M4" s="27">
        <f t="shared" si="0"/>
        <v>46066</v>
      </c>
      <c r="N4" s="27">
        <f t="shared" si="0"/>
        <v>46067</v>
      </c>
      <c r="O4" s="28">
        <f t="shared" si="0"/>
        <v>46068</v>
      </c>
      <c r="P4" s="29">
        <f>O4+1</f>
        <v>46069</v>
      </c>
      <c r="Q4" s="27">
        <f>P4+1</f>
        <v>46070</v>
      </c>
      <c r="R4" s="27">
        <f t="shared" si="0"/>
        <v>46071</v>
      </c>
      <c r="S4" s="27">
        <f t="shared" si="0"/>
        <v>46072</v>
      </c>
      <c r="T4" s="27">
        <f t="shared" si="0"/>
        <v>46073</v>
      </c>
      <c r="U4" s="27">
        <f t="shared" si="0"/>
        <v>46074</v>
      </c>
      <c r="V4" s="28">
        <f t="shared" si="0"/>
        <v>46075</v>
      </c>
      <c r="W4" s="29">
        <f>V4+1</f>
        <v>46076</v>
      </c>
      <c r="X4" s="27">
        <f>W4+1</f>
        <v>46077</v>
      </c>
      <c r="Y4" s="27">
        <f t="shared" si="0"/>
        <v>46078</v>
      </c>
      <c r="Z4" s="27">
        <f t="shared" si="0"/>
        <v>46079</v>
      </c>
      <c r="AA4" s="27">
        <f t="shared" si="0"/>
        <v>46080</v>
      </c>
      <c r="AB4" s="27">
        <f t="shared" si="0"/>
        <v>46081</v>
      </c>
      <c r="AC4" s="28">
        <f t="shared" si="0"/>
        <v>46082</v>
      </c>
      <c r="AD4" s="29">
        <f>AC4+1</f>
        <v>46083</v>
      </c>
      <c r="AE4" s="27">
        <f>AD4+1</f>
        <v>46084</v>
      </c>
      <c r="AF4" s="27">
        <f t="shared" si="0"/>
        <v>46085</v>
      </c>
      <c r="AG4" s="27">
        <f t="shared" si="0"/>
        <v>46086</v>
      </c>
      <c r="AH4" s="27">
        <f t="shared" si="0"/>
        <v>46087</v>
      </c>
      <c r="AI4" s="27">
        <f t="shared" si="0"/>
        <v>46088</v>
      </c>
      <c r="AJ4" s="28">
        <f t="shared" si="0"/>
        <v>46089</v>
      </c>
      <c r="AK4" s="29">
        <f>AJ4+1</f>
        <v>46090</v>
      </c>
      <c r="AL4" s="27">
        <f>AK4+1</f>
        <v>46091</v>
      </c>
      <c r="AM4" s="27">
        <f t="shared" si="0"/>
        <v>46092</v>
      </c>
      <c r="AN4" s="27">
        <f t="shared" si="0"/>
        <v>46093</v>
      </c>
      <c r="AO4" s="27">
        <f t="shared" si="0"/>
        <v>46094</v>
      </c>
      <c r="AP4" s="27">
        <f t="shared" si="0"/>
        <v>46095</v>
      </c>
      <c r="AQ4" s="28">
        <f t="shared" si="0"/>
        <v>46096</v>
      </c>
      <c r="AR4" s="29">
        <f>AQ4+1</f>
        <v>46097</v>
      </c>
      <c r="AS4" s="27">
        <f>AR4+1</f>
        <v>46098</v>
      </c>
      <c r="AT4" s="27">
        <f t="shared" si="0"/>
        <v>46099</v>
      </c>
      <c r="AU4" s="27">
        <f t="shared" si="0"/>
        <v>46100</v>
      </c>
      <c r="AV4" s="27">
        <f t="shared" si="0"/>
        <v>46101</v>
      </c>
      <c r="AW4" s="27">
        <f t="shared" si="0"/>
        <v>46102</v>
      </c>
      <c r="AX4" s="28">
        <f t="shared" si="0"/>
        <v>46103</v>
      </c>
      <c r="AY4" s="29">
        <f>AX4+1</f>
        <v>46104</v>
      </c>
      <c r="AZ4" s="27">
        <f>AY4+1</f>
        <v>46105</v>
      </c>
      <c r="BA4" s="27">
        <f t="shared" ref="BA4:BE4" si="1">AZ4+1</f>
        <v>46106</v>
      </c>
      <c r="BB4" s="27">
        <f t="shared" si="1"/>
        <v>46107</v>
      </c>
      <c r="BC4" s="27">
        <f t="shared" si="1"/>
        <v>46108</v>
      </c>
      <c r="BD4" s="27">
        <f t="shared" si="1"/>
        <v>46109</v>
      </c>
      <c r="BE4" s="28">
        <f t="shared" si="1"/>
        <v>46110</v>
      </c>
      <c r="BF4" s="29">
        <f>BE4+1</f>
        <v>46111</v>
      </c>
      <c r="BG4" s="27">
        <f>BF4+1</f>
        <v>46112</v>
      </c>
      <c r="BH4" s="27">
        <f t="shared" ref="BH4:BL4" si="2">BG4+1</f>
        <v>46113</v>
      </c>
      <c r="BI4" s="27">
        <f t="shared" si="2"/>
        <v>46114</v>
      </c>
      <c r="BJ4" s="27">
        <f t="shared" si="2"/>
        <v>46115</v>
      </c>
      <c r="BK4" s="27">
        <f t="shared" si="2"/>
        <v>46116</v>
      </c>
      <c r="BL4" s="27">
        <f t="shared" si="2"/>
        <v>46117</v>
      </c>
    </row>
    <row r="5" spans="1:64" s="24" customFormat="1" ht="15" customHeight="1" thickBot="1">
      <c r="A5" s="92"/>
      <c r="B5" s="94"/>
      <c r="C5" s="98"/>
      <c r="D5" s="98"/>
      <c r="E5" s="98"/>
      <c r="F5" s="98"/>
      <c r="I5" s="30" t="str">
        <f t="shared" ref="I5:AN5" si="3">LEFT(TEXT(I4,"ddd"),1)</f>
        <v>M</v>
      </c>
      <c r="J5" s="31" t="str">
        <f t="shared" si="3"/>
        <v>T</v>
      </c>
      <c r="K5" s="31" t="str">
        <f t="shared" si="3"/>
        <v>W</v>
      </c>
      <c r="L5" s="31" t="str">
        <f t="shared" si="3"/>
        <v>T</v>
      </c>
      <c r="M5" s="31" t="str">
        <f t="shared" si="3"/>
        <v>F</v>
      </c>
      <c r="N5" s="31" t="str">
        <f t="shared" si="3"/>
        <v>S</v>
      </c>
      <c r="O5" s="31" t="str">
        <f t="shared" si="3"/>
        <v>S</v>
      </c>
      <c r="P5" s="31" t="str">
        <f t="shared" si="3"/>
        <v>M</v>
      </c>
      <c r="Q5" s="31" t="str">
        <f t="shared" si="3"/>
        <v>T</v>
      </c>
      <c r="R5" s="31" t="str">
        <f t="shared" si="3"/>
        <v>W</v>
      </c>
      <c r="S5" s="31" t="str">
        <f t="shared" si="3"/>
        <v>T</v>
      </c>
      <c r="T5" s="31" t="str">
        <f t="shared" si="3"/>
        <v>F</v>
      </c>
      <c r="U5" s="31" t="str">
        <f t="shared" si="3"/>
        <v>S</v>
      </c>
      <c r="V5" s="31" t="str">
        <f t="shared" si="3"/>
        <v>S</v>
      </c>
      <c r="W5" s="31" t="str">
        <f t="shared" si="3"/>
        <v>M</v>
      </c>
      <c r="X5" s="31" t="str">
        <f t="shared" si="3"/>
        <v>T</v>
      </c>
      <c r="Y5" s="31" t="str">
        <f t="shared" si="3"/>
        <v>W</v>
      </c>
      <c r="Z5" s="31" t="str">
        <f t="shared" si="3"/>
        <v>T</v>
      </c>
      <c r="AA5" s="31" t="str">
        <f t="shared" si="3"/>
        <v>F</v>
      </c>
      <c r="AB5" s="31" t="str">
        <f t="shared" si="3"/>
        <v>S</v>
      </c>
      <c r="AC5" s="31" t="str">
        <f t="shared" si="3"/>
        <v>S</v>
      </c>
      <c r="AD5" s="31" t="str">
        <f t="shared" si="3"/>
        <v>M</v>
      </c>
      <c r="AE5" s="31" t="str">
        <f t="shared" si="3"/>
        <v>T</v>
      </c>
      <c r="AF5" s="31" t="str">
        <f t="shared" si="3"/>
        <v>W</v>
      </c>
      <c r="AG5" s="31" t="str">
        <f t="shared" si="3"/>
        <v>T</v>
      </c>
      <c r="AH5" s="31" t="str">
        <f t="shared" si="3"/>
        <v>F</v>
      </c>
      <c r="AI5" s="31" t="str">
        <f t="shared" si="3"/>
        <v>S</v>
      </c>
      <c r="AJ5" s="31" t="str">
        <f t="shared" si="3"/>
        <v>S</v>
      </c>
      <c r="AK5" s="31" t="str">
        <f t="shared" si="3"/>
        <v>M</v>
      </c>
      <c r="AL5" s="31" t="str">
        <f t="shared" si="3"/>
        <v>T</v>
      </c>
      <c r="AM5" s="31" t="str">
        <f t="shared" si="3"/>
        <v>W</v>
      </c>
      <c r="AN5" s="31" t="str">
        <f t="shared" si="3"/>
        <v>T</v>
      </c>
      <c r="AO5" s="31" t="str">
        <f t="shared" ref="AO5:BL5" si="4">LEFT(TEXT(AO4,"ddd"),1)</f>
        <v>F</v>
      </c>
      <c r="AP5" s="31" t="str">
        <f t="shared" si="4"/>
        <v>S</v>
      </c>
      <c r="AQ5" s="31" t="str">
        <f t="shared" si="4"/>
        <v>S</v>
      </c>
      <c r="AR5" s="31" t="str">
        <f t="shared" si="4"/>
        <v>M</v>
      </c>
      <c r="AS5" s="31" t="str">
        <f t="shared" si="4"/>
        <v>T</v>
      </c>
      <c r="AT5" s="31" t="str">
        <f t="shared" si="4"/>
        <v>W</v>
      </c>
      <c r="AU5" s="31" t="str">
        <f t="shared" si="4"/>
        <v>T</v>
      </c>
      <c r="AV5" s="31" t="str">
        <f t="shared" si="4"/>
        <v>F</v>
      </c>
      <c r="AW5" s="31" t="str">
        <f t="shared" si="4"/>
        <v>S</v>
      </c>
      <c r="AX5" s="31" t="str">
        <f t="shared" si="4"/>
        <v>S</v>
      </c>
      <c r="AY5" s="31" t="str">
        <f t="shared" si="4"/>
        <v>M</v>
      </c>
      <c r="AZ5" s="31" t="str">
        <f t="shared" si="4"/>
        <v>T</v>
      </c>
      <c r="BA5" s="31" t="str">
        <f t="shared" si="4"/>
        <v>W</v>
      </c>
      <c r="BB5" s="31" t="str">
        <f t="shared" si="4"/>
        <v>T</v>
      </c>
      <c r="BC5" s="31" t="str">
        <f t="shared" si="4"/>
        <v>F</v>
      </c>
      <c r="BD5" s="31" t="str">
        <f t="shared" si="4"/>
        <v>S</v>
      </c>
      <c r="BE5" s="31" t="str">
        <f t="shared" si="4"/>
        <v>S</v>
      </c>
      <c r="BF5" s="31" t="str">
        <f t="shared" si="4"/>
        <v>M</v>
      </c>
      <c r="BG5" s="31" t="str">
        <f t="shared" si="4"/>
        <v>T</v>
      </c>
      <c r="BH5" s="31" t="str">
        <f t="shared" si="4"/>
        <v>W</v>
      </c>
      <c r="BI5" s="31" t="str">
        <f t="shared" si="4"/>
        <v>T</v>
      </c>
      <c r="BJ5" s="31" t="str">
        <f t="shared" si="4"/>
        <v>F</v>
      </c>
      <c r="BK5" s="31" t="str">
        <f t="shared" si="4"/>
        <v>S</v>
      </c>
      <c r="BL5" s="32" t="str">
        <f t="shared" si="4"/>
        <v>S</v>
      </c>
    </row>
    <row r="6" spans="1:64" s="24" customFormat="1" ht="30" hidden="1" customHeight="1" thickBot="1">
      <c r="A6" s="12" t="s">
        <v>9</v>
      </c>
      <c r="B6" s="33"/>
      <c r="C6" s="34"/>
      <c r="D6" s="33"/>
      <c r="E6" s="33"/>
      <c r="F6" s="33"/>
      <c r="H6" s="24" t="str">
        <f ca="1">IF(OR(ISBLANK(task_start),ISBLANK(task_end)),"",task_end-task_start+1)</f>
        <v/>
      </c>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row>
    <row r="7" spans="1:64" s="41" customFormat="1" ht="30" customHeight="1" thickBot="1">
      <c r="A7" s="83"/>
      <c r="B7" s="81" t="s">
        <v>10</v>
      </c>
      <c r="C7" s="36"/>
      <c r="D7" s="37"/>
      <c r="E7" s="38"/>
      <c r="F7" s="39"/>
      <c r="G7" s="15"/>
      <c r="H7" s="5" t="str">
        <f t="shared" ref="H7:H42" ca="1" si="5">IF(OR(ISBLANK(task_start),ISBLANK(task_end)),"",task_end-task_start+1)</f>
        <v/>
      </c>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row>
    <row r="8" spans="1:64" s="41" customFormat="1" ht="30" customHeight="1" thickBot="1">
      <c r="A8" s="83"/>
      <c r="B8" s="78" t="s">
        <v>11</v>
      </c>
      <c r="C8" s="42" t="s">
        <v>12</v>
      </c>
      <c r="D8" s="43">
        <v>1</v>
      </c>
      <c r="E8" s="44">
        <f>Project_Start</f>
        <v>46054</v>
      </c>
      <c r="F8" s="44">
        <f>E8+4</f>
        <v>46058</v>
      </c>
      <c r="G8" s="15"/>
      <c r="H8" s="5">
        <f t="shared" ca="1" si="5"/>
        <v>5</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1" customFormat="1" ht="30" customHeight="1">
      <c r="A9" s="83"/>
      <c r="B9" s="78" t="s">
        <v>13</v>
      </c>
      <c r="C9" s="42" t="s">
        <v>12</v>
      </c>
      <c r="D9" s="43">
        <v>1</v>
      </c>
      <c r="E9" s="44">
        <f>Project_Start</f>
        <v>46054</v>
      </c>
      <c r="F9" s="44">
        <f>E9+20</f>
        <v>46074</v>
      </c>
      <c r="G9" s="15"/>
      <c r="H9" s="5">
        <f t="shared" ca="1" si="5"/>
        <v>21</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1" customFormat="1" ht="30" customHeight="1">
      <c r="A10" s="12"/>
      <c r="B10" s="80" t="s">
        <v>14</v>
      </c>
      <c r="C10" s="46" t="s">
        <v>15</v>
      </c>
      <c r="D10" s="47">
        <v>1</v>
      </c>
      <c r="E10" s="48">
        <f>DATE(2026,2,5)</f>
        <v>46058</v>
      </c>
      <c r="F10" s="48">
        <f>E10+15</f>
        <v>46073</v>
      </c>
      <c r="G10" s="15"/>
      <c r="H10" s="5">
        <f t="shared" ca="1" si="5"/>
        <v>16</v>
      </c>
      <c r="I10" s="45"/>
      <c r="J10" s="45"/>
      <c r="K10" s="45"/>
      <c r="L10" s="45"/>
      <c r="M10" s="45"/>
      <c r="N10" s="45"/>
      <c r="O10" s="45"/>
      <c r="P10" s="45"/>
      <c r="Q10" s="45"/>
      <c r="R10" s="45"/>
      <c r="S10" s="45"/>
      <c r="T10" s="45"/>
      <c r="U10" s="45"/>
      <c r="V10" s="45"/>
      <c r="W10" s="45"/>
      <c r="X10" s="45"/>
      <c r="Y10" s="49"/>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1" customFormat="1" ht="30" customHeight="1">
      <c r="A11" s="83"/>
      <c r="B11" s="78" t="s">
        <v>16</v>
      </c>
      <c r="C11" s="42" t="s">
        <v>15</v>
      </c>
      <c r="D11" s="43">
        <v>1</v>
      </c>
      <c r="E11" s="44">
        <f>Project_Start</f>
        <v>46054</v>
      </c>
      <c r="F11" s="44">
        <f>E11+4</f>
        <v>46058</v>
      </c>
      <c r="G11" s="15"/>
      <c r="H11" s="5">
        <f t="shared" ca="1" si="5"/>
        <v>5</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row>
    <row r="12" spans="1:64" s="41" customFormat="1" ht="30" customHeight="1">
      <c r="A12" s="83"/>
      <c r="B12" s="78" t="s">
        <v>17</v>
      </c>
      <c r="C12" s="42" t="s">
        <v>15</v>
      </c>
      <c r="D12" s="43">
        <v>1</v>
      </c>
      <c r="E12" s="44">
        <f>Project_Start</f>
        <v>46054</v>
      </c>
      <c r="F12" s="44">
        <f>E12+20</f>
        <v>46074</v>
      </c>
      <c r="G12" s="15"/>
      <c r="H12" s="5">
        <f t="shared" ca="1" si="5"/>
        <v>21</v>
      </c>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row>
    <row r="13" spans="1:64" s="41" customFormat="1" ht="30" customHeight="1">
      <c r="A13" s="83"/>
      <c r="B13" s="79" t="s">
        <v>18</v>
      </c>
      <c r="C13" s="46" t="s">
        <v>19</v>
      </c>
      <c r="D13" s="47">
        <v>1</v>
      </c>
      <c r="E13" s="48">
        <f>F12</f>
        <v>46074</v>
      </c>
      <c r="F13" s="48">
        <f>E13+O93</f>
        <v>46074</v>
      </c>
      <c r="G13" s="15"/>
      <c r="H13" s="5">
        <f t="shared" ca="1" si="5"/>
        <v>1</v>
      </c>
      <c r="I13" s="45"/>
      <c r="J13" s="45"/>
      <c r="K13" s="45"/>
      <c r="L13" s="45"/>
      <c r="M13" s="45"/>
      <c r="N13" s="45"/>
      <c r="O13" s="45"/>
      <c r="P13" s="45"/>
      <c r="Q13" s="45"/>
      <c r="R13" s="45"/>
      <c r="S13" s="45"/>
      <c r="T13" s="45"/>
      <c r="U13" s="49"/>
      <c r="V13" s="49"/>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1" customFormat="1" ht="30" customHeight="1">
      <c r="A14" s="12"/>
      <c r="B14" s="80" t="s">
        <v>20</v>
      </c>
      <c r="C14" s="46" t="s">
        <v>21</v>
      </c>
      <c r="D14" s="47">
        <v>1</v>
      </c>
      <c r="E14" s="48">
        <f>DATE(2026,2,3)</f>
        <v>46056</v>
      </c>
      <c r="F14" s="48">
        <f>E14+17</f>
        <v>46073</v>
      </c>
      <c r="G14" s="15"/>
      <c r="H14" s="5">
        <f t="shared" ca="1" si="5"/>
        <v>18</v>
      </c>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row>
    <row r="15" spans="1:64" s="41" customFormat="1" ht="30" customHeight="1">
      <c r="A15" s="12"/>
      <c r="B15" s="80" t="s">
        <v>22</v>
      </c>
      <c r="C15" s="46" t="s">
        <v>23</v>
      </c>
      <c r="D15" s="47">
        <v>1</v>
      </c>
      <c r="E15" s="48">
        <f>DATE(2026,2,8)</f>
        <v>46061</v>
      </c>
      <c r="F15" s="48">
        <f>E15+10</f>
        <v>46071</v>
      </c>
      <c r="G15" s="15"/>
      <c r="H15" s="5">
        <f t="shared" ca="1" si="5"/>
        <v>11</v>
      </c>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row>
    <row r="16" spans="1:64" s="41" customFormat="1" ht="30" customHeight="1">
      <c r="A16" s="12"/>
      <c r="B16" s="80" t="s">
        <v>24</v>
      </c>
      <c r="C16" s="46" t="s">
        <v>15</v>
      </c>
      <c r="D16" s="47">
        <v>1</v>
      </c>
      <c r="E16" s="48">
        <v>46069</v>
      </c>
      <c r="F16" s="48">
        <v>46075</v>
      </c>
      <c r="G16" s="15"/>
      <c r="H16" s="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64" s="41" customFormat="1" ht="30" customHeight="1">
      <c r="A17" s="12"/>
      <c r="B17" s="80" t="s">
        <v>25</v>
      </c>
      <c r="C17" s="46" t="s">
        <v>26</v>
      </c>
      <c r="D17" s="47">
        <v>1</v>
      </c>
      <c r="E17" s="48">
        <f>DATE(2026,2,16)</f>
        <v>46069</v>
      </c>
      <c r="F17" s="48">
        <f>E17+6</f>
        <v>46075</v>
      </c>
      <c r="G17" s="15"/>
      <c r="H17" s="5">
        <f t="shared" ca="1" si="5"/>
        <v>7</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row>
    <row r="18" spans="1:64" s="41" customFormat="1" ht="30" customHeight="1">
      <c r="A18" s="12"/>
      <c r="B18" s="80" t="s">
        <v>27</v>
      </c>
      <c r="C18" s="46" t="s">
        <v>28</v>
      </c>
      <c r="D18" s="47">
        <v>1</v>
      </c>
      <c r="E18" s="48">
        <f>DATE(2026,2,19)</f>
        <v>46072</v>
      </c>
      <c r="F18" s="48">
        <f>E18+3</f>
        <v>46075</v>
      </c>
      <c r="G18" s="15"/>
      <c r="H18" s="5">
        <f t="shared" ca="1" si="5"/>
        <v>4</v>
      </c>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row>
    <row r="19" spans="1:64" s="41" customFormat="1" ht="30" customHeight="1">
      <c r="A19" s="12"/>
      <c r="B19" s="80" t="s">
        <v>29</v>
      </c>
      <c r="C19" s="46" t="s">
        <v>30</v>
      </c>
      <c r="D19" s="47">
        <v>1</v>
      </c>
      <c r="E19" s="48">
        <v>46054</v>
      </c>
      <c r="F19" s="48">
        <v>46075</v>
      </c>
      <c r="G19" s="15"/>
      <c r="H19" s="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row>
    <row r="20" spans="1:64" s="41" customFormat="1" ht="30" customHeight="1">
      <c r="A20" s="12"/>
      <c r="B20" s="80" t="s">
        <v>31</v>
      </c>
      <c r="C20" s="46" t="s">
        <v>32</v>
      </c>
      <c r="D20" s="47">
        <v>1</v>
      </c>
      <c r="E20" s="48">
        <f>DATE(2026,2,22)</f>
        <v>46075</v>
      </c>
      <c r="F20" s="48">
        <f>E20+0</f>
        <v>46075</v>
      </c>
      <c r="G20" s="15"/>
      <c r="H20" s="5">
        <f t="shared" ca="1" si="5"/>
        <v>1</v>
      </c>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row>
    <row r="21" spans="1:64" s="41" customFormat="1" ht="30" customHeight="1">
      <c r="A21" s="83"/>
      <c r="B21" s="85" t="s">
        <v>33</v>
      </c>
      <c r="C21" s="50"/>
      <c r="D21" s="51"/>
      <c r="E21" s="52"/>
      <c r="F21" s="53"/>
      <c r="G21" s="15"/>
      <c r="H21" s="5" t="str">
        <f t="shared" ca="1" si="5"/>
        <v/>
      </c>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row>
    <row r="22" spans="1:64" s="41" customFormat="1" ht="30" customHeight="1">
      <c r="A22" s="12"/>
      <c r="B22" s="84" t="s">
        <v>34</v>
      </c>
      <c r="C22" s="54" t="s">
        <v>23</v>
      </c>
      <c r="D22" s="55">
        <v>1</v>
      </c>
      <c r="E22" s="56">
        <f>DATE(2026,2,23)</f>
        <v>46076</v>
      </c>
      <c r="F22" s="56">
        <f>E22+10</f>
        <v>46086</v>
      </c>
      <c r="G22" s="15"/>
      <c r="H22" s="5">
        <f t="shared" ca="1" si="5"/>
        <v>11</v>
      </c>
      <c r="I22" s="45"/>
      <c r="J22" s="45"/>
      <c r="K22" s="45"/>
      <c r="L22" s="45"/>
      <c r="M22" s="45"/>
      <c r="N22" s="45"/>
      <c r="O22" s="45"/>
      <c r="P22" s="45"/>
      <c r="Q22" s="45"/>
      <c r="R22" s="45"/>
      <c r="S22" s="45"/>
      <c r="T22" s="45"/>
      <c r="U22" s="49"/>
      <c r="V22" s="49"/>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row>
    <row r="23" spans="1:64" s="41" customFormat="1" ht="30" customHeight="1">
      <c r="A23" s="12"/>
      <c r="B23" s="84" t="s">
        <v>35</v>
      </c>
      <c r="C23" s="54" t="s">
        <v>21</v>
      </c>
      <c r="D23" s="55">
        <v>1</v>
      </c>
      <c r="E23" s="56">
        <f>DATE(2026,3,2)</f>
        <v>46083</v>
      </c>
      <c r="F23" s="56">
        <f>E23+8</f>
        <v>46091</v>
      </c>
      <c r="G23" s="15"/>
      <c r="H23" s="5">
        <f t="shared" ca="1" si="5"/>
        <v>9</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row>
    <row r="24" spans="1:64" s="41" customFormat="1" ht="30" customHeight="1">
      <c r="A24" s="12"/>
      <c r="B24" s="84" t="s">
        <v>36</v>
      </c>
      <c r="C24" s="54" t="s">
        <v>32</v>
      </c>
      <c r="D24" s="55">
        <v>1</v>
      </c>
      <c r="E24" s="56">
        <f>DATE(2026,3,2)</f>
        <v>46083</v>
      </c>
      <c r="F24" s="56">
        <f>E24+6</f>
        <v>46089</v>
      </c>
      <c r="G24" s="15"/>
      <c r="H24" s="5">
        <f t="shared" ca="1" si="5"/>
        <v>7</v>
      </c>
      <c r="I24" s="45"/>
      <c r="J24" s="45"/>
      <c r="K24" s="45"/>
      <c r="L24" s="45"/>
      <c r="M24" s="45"/>
      <c r="N24" s="45"/>
      <c r="O24" s="45"/>
      <c r="P24" s="45"/>
      <c r="Q24" s="45"/>
      <c r="R24" s="45"/>
      <c r="S24" s="45"/>
      <c r="T24" s="45"/>
      <c r="U24" s="45"/>
      <c r="V24" s="45"/>
      <c r="W24" s="45"/>
      <c r="X24" s="45"/>
      <c r="Y24" s="49"/>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64" s="41" customFormat="1" ht="30" customHeight="1">
      <c r="A25" s="12"/>
      <c r="B25" s="84" t="s">
        <v>37</v>
      </c>
      <c r="C25" s="54" t="s">
        <v>21</v>
      </c>
      <c r="D25" s="55">
        <v>1</v>
      </c>
      <c r="E25" s="56">
        <f>E23</f>
        <v>46083</v>
      </c>
      <c r="F25" s="56">
        <f>E25+12</f>
        <v>46095</v>
      </c>
      <c r="G25" s="15"/>
      <c r="H25" s="5">
        <f t="shared" ca="1" si="5"/>
        <v>13</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row>
    <row r="26" spans="1:64" s="41" customFormat="1" ht="30" customHeight="1">
      <c r="A26" s="12"/>
      <c r="B26" s="84" t="s">
        <v>38</v>
      </c>
      <c r="C26" s="54" t="s">
        <v>32</v>
      </c>
      <c r="D26" s="55">
        <v>1</v>
      </c>
      <c r="E26" s="56">
        <f>DATE(2026,3,15)</f>
        <v>46096</v>
      </c>
      <c r="F26" s="56">
        <f>E26+7</f>
        <v>46103</v>
      </c>
      <c r="G26" s="15"/>
      <c r="H26" s="5">
        <f t="shared" ca="1" si="5"/>
        <v>8</v>
      </c>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row>
    <row r="27" spans="1:64" s="41" customFormat="1" ht="30" customHeight="1">
      <c r="A27" s="12"/>
      <c r="B27" s="84" t="s">
        <v>38</v>
      </c>
      <c r="C27" s="54" t="s">
        <v>15</v>
      </c>
      <c r="D27" s="55">
        <v>1</v>
      </c>
      <c r="E27" s="56">
        <f>DATE(2026,2,25)</f>
        <v>46078</v>
      </c>
      <c r="F27" s="56">
        <f>E27+20</f>
        <v>46098</v>
      </c>
      <c r="G27" s="15"/>
      <c r="H27" s="5">
        <f t="shared" ca="1" si="5"/>
        <v>21</v>
      </c>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row>
    <row r="28" spans="1:64" s="41" customFormat="1" ht="30" customHeight="1">
      <c r="A28" s="12"/>
      <c r="B28" s="84" t="s">
        <v>39</v>
      </c>
      <c r="C28" s="54" t="s">
        <v>15</v>
      </c>
      <c r="D28" s="55">
        <v>1</v>
      </c>
      <c r="E28" s="56">
        <v>46078</v>
      </c>
      <c r="F28" s="56">
        <v>46103</v>
      </c>
      <c r="G28" s="15"/>
      <c r="H28" s="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row>
    <row r="29" spans="1:64" s="41" customFormat="1" ht="30" customHeight="1">
      <c r="A29" s="12"/>
      <c r="B29" s="84" t="s">
        <v>40</v>
      </c>
      <c r="C29" s="54" t="s">
        <v>23</v>
      </c>
      <c r="D29" s="55">
        <v>1</v>
      </c>
      <c r="E29" s="56">
        <f>DATE(2026,3,12)</f>
        <v>46093</v>
      </c>
      <c r="F29" s="56">
        <f>E29+9</f>
        <v>46102</v>
      </c>
      <c r="G29" s="15"/>
      <c r="H29" s="5">
        <f t="shared" ca="1" si="5"/>
        <v>10</v>
      </c>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row>
    <row r="30" spans="1:64" s="41" customFormat="1" ht="30" customHeight="1">
      <c r="A30" s="12"/>
      <c r="B30" s="84" t="s">
        <v>41</v>
      </c>
      <c r="C30" s="54" t="s">
        <v>26</v>
      </c>
      <c r="D30" s="55">
        <v>1</v>
      </c>
      <c r="E30" s="56">
        <f>DATE(2026,3,15)</f>
        <v>46096</v>
      </c>
      <c r="F30" s="56">
        <f>E30+7</f>
        <v>46103</v>
      </c>
      <c r="G30" s="15"/>
      <c r="H30" s="5">
        <f t="shared" ca="1" si="5"/>
        <v>8</v>
      </c>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row>
    <row r="31" spans="1:64" s="41" customFormat="1" ht="30" customHeight="1">
      <c r="A31" s="12"/>
      <c r="B31" s="84" t="s">
        <v>42</v>
      </c>
      <c r="C31" s="54" t="s">
        <v>12</v>
      </c>
      <c r="D31" s="55">
        <v>1</v>
      </c>
      <c r="E31" s="56">
        <f>DATE(2026,3,12)</f>
        <v>46093</v>
      </c>
      <c r="F31" s="56">
        <f>E31+10</f>
        <v>46103</v>
      </c>
      <c r="G31" s="15"/>
      <c r="H31" s="5">
        <f t="shared" ca="1" si="5"/>
        <v>11</v>
      </c>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row>
    <row r="32" spans="1:64" s="41" customFormat="1" ht="30" customHeight="1">
      <c r="A32" s="12"/>
      <c r="B32" s="84" t="s">
        <v>43</v>
      </c>
      <c r="C32" s="54" t="s">
        <v>32</v>
      </c>
      <c r="D32" s="55">
        <v>1</v>
      </c>
      <c r="E32" s="56">
        <f>DATE(2026,3,22)</f>
        <v>46103</v>
      </c>
      <c r="F32" s="56">
        <f>E32</f>
        <v>46103</v>
      </c>
      <c r="G32" s="15"/>
      <c r="H32" s="5">
        <f t="shared" ca="1" si="5"/>
        <v>1</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1" customFormat="1" ht="30" customHeight="1">
      <c r="A33" s="12"/>
      <c r="B33" s="57" t="s">
        <v>44</v>
      </c>
      <c r="C33" s="58"/>
      <c r="D33" s="59"/>
      <c r="E33" s="60"/>
      <c r="F33" s="61"/>
      <c r="G33" s="15"/>
      <c r="H33" s="5" t="str">
        <f t="shared" ca="1" si="5"/>
        <v/>
      </c>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row>
    <row r="34" spans="1:64" s="41" customFormat="1" ht="30" customHeight="1">
      <c r="A34" s="12"/>
      <c r="B34" s="86" t="s">
        <v>45</v>
      </c>
      <c r="C34" s="62" t="s">
        <v>21</v>
      </c>
      <c r="D34" s="63">
        <v>1</v>
      </c>
      <c r="E34" s="64">
        <f>DATE(2026,3,25)</f>
        <v>46106</v>
      </c>
      <c r="F34" s="64">
        <f>DATE(2026,4,1)</f>
        <v>46113</v>
      </c>
      <c r="G34" s="15"/>
      <c r="H34" s="5">
        <f t="shared" ca="1" si="5"/>
        <v>8</v>
      </c>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row>
    <row r="35" spans="1:64" s="41" customFormat="1" ht="30" customHeight="1">
      <c r="A35" s="12"/>
      <c r="B35" s="87" t="s">
        <v>46</v>
      </c>
      <c r="C35" s="62" t="s">
        <v>21</v>
      </c>
      <c r="D35" s="63">
        <v>1</v>
      </c>
      <c r="E35" s="64">
        <f>DATE(2026,3,25)</f>
        <v>46106</v>
      </c>
      <c r="F35" s="64">
        <f>DATE(2026,4,10)</f>
        <v>46122</v>
      </c>
      <c r="G35" s="15"/>
      <c r="H35" s="5">
        <f t="shared" ca="1" si="5"/>
        <v>17</v>
      </c>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row>
    <row r="36" spans="1:64" s="41" customFormat="1" ht="30" customHeight="1">
      <c r="A36" s="12"/>
      <c r="B36" s="87" t="s">
        <v>47</v>
      </c>
      <c r="C36" s="62" t="s">
        <v>23</v>
      </c>
      <c r="D36" s="63">
        <v>1</v>
      </c>
      <c r="E36" s="64">
        <f>DATE(2026,3,23)</f>
        <v>46104</v>
      </c>
      <c r="F36" s="64">
        <f>E36+12</f>
        <v>46116</v>
      </c>
      <c r="G36" s="15"/>
      <c r="H36" s="5">
        <f t="shared" ca="1" si="5"/>
        <v>13</v>
      </c>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row>
    <row r="37" spans="1:64" s="41" customFormat="1" ht="30" customHeight="1">
      <c r="A37" s="12"/>
      <c r="B37" s="87" t="s">
        <v>48</v>
      </c>
      <c r="C37" s="62" t="s">
        <v>15</v>
      </c>
      <c r="D37" s="63">
        <v>1</v>
      </c>
      <c r="E37" s="64">
        <f>DATE(2026,3,23)</f>
        <v>46104</v>
      </c>
      <c r="F37" s="64">
        <f>E37+13</f>
        <v>46117</v>
      </c>
      <c r="G37" s="15"/>
      <c r="H37" s="5">
        <f t="shared" ca="1" si="5"/>
        <v>14</v>
      </c>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row>
    <row r="38" spans="1:64" s="41" customFormat="1" ht="30" customHeight="1">
      <c r="A38" s="12"/>
      <c r="B38" s="87" t="s">
        <v>49</v>
      </c>
      <c r="C38" s="62" t="s">
        <v>15</v>
      </c>
      <c r="D38" s="63">
        <v>1</v>
      </c>
      <c r="E38" s="64">
        <f>DATE(2026,4,1)</f>
        <v>46113</v>
      </c>
      <c r="F38" s="64">
        <f>E38+9</f>
        <v>46122</v>
      </c>
      <c r="G38" s="15"/>
      <c r="H38" s="5">
        <f t="shared" ca="1" si="5"/>
        <v>10</v>
      </c>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row>
    <row r="39" spans="1:64" s="41" customFormat="1" ht="30" customHeight="1">
      <c r="A39" s="12"/>
      <c r="B39" s="87" t="s">
        <v>50</v>
      </c>
      <c r="C39" s="62" t="s">
        <v>51</v>
      </c>
      <c r="D39" s="63">
        <v>1</v>
      </c>
      <c r="E39" s="64">
        <f>DATE(2026,4,1)</f>
        <v>46113</v>
      </c>
      <c r="F39" s="64">
        <f>E39+14</f>
        <v>46127</v>
      </c>
      <c r="G39" s="15"/>
      <c r="H39" s="5">
        <f t="shared" ca="1" si="5"/>
        <v>15</v>
      </c>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row>
    <row r="40" spans="1:64" s="41" customFormat="1" ht="30" customHeight="1">
      <c r="A40" s="12"/>
      <c r="B40" s="87" t="s">
        <v>52</v>
      </c>
      <c r="C40" s="62" t="s">
        <v>32</v>
      </c>
      <c r="D40" s="63">
        <v>1</v>
      </c>
      <c r="E40" s="64">
        <f>DATE(2026,4,15)</f>
        <v>46127</v>
      </c>
      <c r="F40" s="64">
        <f>E40+5</f>
        <v>46132</v>
      </c>
      <c r="G40" s="15"/>
      <c r="H40" s="5">
        <f t="shared" ca="1" si="5"/>
        <v>6</v>
      </c>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row>
    <row r="41" spans="1:64" s="41" customFormat="1" ht="30" customHeight="1">
      <c r="A41" s="12"/>
      <c r="B41" s="87" t="s">
        <v>53</v>
      </c>
      <c r="C41" s="62" t="s">
        <v>12</v>
      </c>
      <c r="D41" s="63">
        <v>1</v>
      </c>
      <c r="E41" s="64">
        <f>DATE(2026,4,20)</f>
        <v>46132</v>
      </c>
      <c r="F41" s="64">
        <f>E41+2</f>
        <v>46134</v>
      </c>
      <c r="G41" s="15"/>
      <c r="H41" s="5">
        <f t="shared" ca="1" si="5"/>
        <v>3</v>
      </c>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row>
    <row r="42" spans="1:64" s="41" customFormat="1" ht="30" customHeight="1">
      <c r="A42" s="12"/>
      <c r="B42" s="87" t="s">
        <v>54</v>
      </c>
      <c r="C42" s="62" t="s">
        <v>32</v>
      </c>
      <c r="D42" s="63">
        <v>1</v>
      </c>
      <c r="E42" s="64">
        <f>DATE(2026,4,22)</f>
        <v>46134</v>
      </c>
      <c r="F42" s="64">
        <f>E42</f>
        <v>46134</v>
      </c>
      <c r="G42" s="15"/>
      <c r="H42" s="5">
        <f t="shared" ca="1" si="5"/>
        <v>1</v>
      </c>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row>
    <row r="43" spans="1:64" ht="30" customHeight="1">
      <c r="B43" s="65"/>
      <c r="C43" s="66"/>
      <c r="D43" s="67"/>
      <c r="E43" s="68"/>
      <c r="F43" s="68"/>
      <c r="G43" s="3"/>
    </row>
    <row r="44" spans="1:64" ht="30" customHeight="1">
      <c r="C44" s="14"/>
      <c r="F44" s="13"/>
    </row>
    <row r="45" spans="1:64" ht="30" customHeight="1">
      <c r="C45" s="4"/>
    </row>
  </sheetData>
  <mergeCells count="10">
    <mergeCell ref="A4:A5"/>
    <mergeCell ref="B4:B5"/>
    <mergeCell ref="C4:C5"/>
    <mergeCell ref="D4:D5"/>
    <mergeCell ref="E4:E5"/>
    <mergeCell ref="F4:F5"/>
    <mergeCell ref="Q2:Z2"/>
    <mergeCell ref="Q1:Z1"/>
    <mergeCell ref="I1:O1"/>
    <mergeCell ref="I2:O2"/>
  </mergeCells>
  <conditionalFormatting sqref="D6:D43">
    <cfRule type="dataBar" priority="41">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42">
    <cfRule type="expression" dxfId="8" priority="56">
      <formula>AND(TODAY()&gt;=I$4, TODAY()&lt;J$4)</formula>
    </cfRule>
  </conditionalFormatting>
  <conditionalFormatting sqref="I8:BL10">
    <cfRule type="expression" dxfId="7" priority="15">
      <formula>AND(task_start&lt;=I$4,ROUNDDOWN((task_end-task_start+1)*task_progress,0)+task_start-1&gt;=I$4)</formula>
    </cfRule>
    <cfRule type="expression" dxfId="6" priority="16" stopIfTrue="1">
      <formula>AND(task_end&gt;=I$4,task_start&lt;J$4)</formula>
    </cfRule>
  </conditionalFormatting>
  <conditionalFormatting sqref="I10:BL20">
    <cfRule type="expression" dxfId="5" priority="24">
      <formula>AND(task_start&lt;=I$4,ROUNDDOWN((task_end-task_start+1)*task_progress,0)+task_start-1&gt;=I$4)</formula>
    </cfRule>
    <cfRule type="expression" dxfId="4" priority="25" stopIfTrue="1">
      <formula>AND(task_end&gt;=I$4,task_start&lt;J$4)</formula>
    </cfRule>
  </conditionalFormatting>
  <conditionalFormatting sqref="I21:BL32">
    <cfRule type="expression" dxfId="3" priority="22">
      <formula>AND(task_start&lt;=I$4,ROUNDDOWN((task_end-task_start+1)*task_progress,0)+task_start-1&gt;=I$4)</formula>
    </cfRule>
    <cfRule type="expression" dxfId="2" priority="23" stopIfTrue="1">
      <formula>AND(task_end&gt;=I$4,task_start&lt;J$4)</formula>
    </cfRule>
  </conditionalFormatting>
  <conditionalFormatting sqref="I33:BL42">
    <cfRule type="expression" dxfId="1" priority="20">
      <formula>AND(task_start&lt;=I$4,ROUNDDOWN((task_end-task_start+1)*task_progress,0)+task_start-1&gt;=I$4)</formula>
    </cfRule>
    <cfRule type="expression" dxfId="0" priority="21" stopIfTrue="1">
      <formula>AND(task_end&gt;=I$4,task_start&lt;J$4)</formula>
    </cfRule>
  </conditionalFormatting>
  <dataValidations count="8">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4:A5" xr:uid="{7A3789A6-A3FB-43B6-A4F7-8C0AC564F67E}"/>
    <dataValidation allowBlank="1" showInputMessage="1" showErrorMessage="1" prompt="Cell B8 contains the Phase 1 sample title. Enter a new title in cell B8._x000a_To delete the phase and work only from tasks, simply delete this row." sqref="A7"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8:A12"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3" xr:uid="{872449A7-C3CC-45B6-BA90-B1AAD66BA0E5}"/>
  </dataValidations>
  <printOptions horizontalCentered="1"/>
  <pageMargins left="0.35" right="0.35" top="0.35" bottom="0.5" header="0.3" footer="0.3"/>
  <pageSetup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6" customWidth="1"/>
    <col min="2" max="16384" width="9" style="1"/>
  </cols>
  <sheetData>
    <row r="1" spans="1:2" ht="46.5" customHeight="1"/>
    <row r="2" spans="1:2" s="8" customFormat="1" ht="15.6">
      <c r="A2" s="71" t="s">
        <v>55</v>
      </c>
      <c r="B2" s="7"/>
    </row>
    <row r="3" spans="1:2" s="10" customFormat="1" ht="27" customHeight="1">
      <c r="A3" s="72"/>
      <c r="B3" s="11"/>
    </row>
    <row r="4" spans="1:2" s="9" customFormat="1" ht="30">
      <c r="A4" s="73" t="s">
        <v>56</v>
      </c>
    </row>
    <row r="5" spans="1:2" ht="74.25" customHeight="1">
      <c r="A5" s="74" t="s">
        <v>57</v>
      </c>
    </row>
    <row r="6" spans="1:2" ht="26.25" customHeight="1">
      <c r="A6" s="73" t="s">
        <v>58</v>
      </c>
    </row>
    <row r="7" spans="1:2" s="6" customFormat="1" ht="205.15" customHeight="1">
      <c r="A7" s="75" t="s">
        <v>59</v>
      </c>
    </row>
    <row r="8" spans="1:2" s="9" customFormat="1" ht="30">
      <c r="A8" s="73" t="s">
        <v>60</v>
      </c>
    </row>
    <row r="9" spans="1:2" ht="41.45">
      <c r="A9" s="74" t="s">
        <v>61</v>
      </c>
    </row>
    <row r="10" spans="1:2" s="6" customFormat="1" ht="28.15" customHeight="1">
      <c r="A10" s="76" t="s">
        <v>62</v>
      </c>
    </row>
    <row r="11" spans="1:2" s="9" customFormat="1" ht="30">
      <c r="A11" s="73" t="s">
        <v>63</v>
      </c>
    </row>
    <row r="12" spans="1:2" ht="27.6">
      <c r="A12" s="74" t="s">
        <v>64</v>
      </c>
    </row>
    <row r="13" spans="1:2" s="6" customFormat="1" ht="28.15" customHeight="1">
      <c r="A13" s="76" t="s">
        <v>65</v>
      </c>
    </row>
    <row r="14" spans="1:2" s="9" customFormat="1" ht="30">
      <c r="A14" s="73" t="s">
        <v>66</v>
      </c>
    </row>
    <row r="15" spans="1:2" ht="75" customHeight="1">
      <c r="A15" s="74" t="s">
        <v>67</v>
      </c>
    </row>
    <row r="16" spans="1:2" ht="69">
      <c r="A16" s="74" t="s">
        <v>68</v>
      </c>
    </row>
    <row r="17" spans="1:1">
      <c r="A17" s="77"/>
    </row>
    <row r="18" spans="1:1">
      <c r="A18" s="77"/>
    </row>
    <row r="19" spans="1:1">
      <c r="A19" s="77"/>
    </row>
    <row r="20" spans="1:1">
      <c r="A20" s="77"/>
    </row>
    <row r="21" spans="1:1">
      <c r="A21" s="77"/>
    </row>
    <row r="22" spans="1:1">
      <c r="A22" s="77"/>
    </row>
    <row r="23" spans="1:1">
      <c r="A23" s="77"/>
    </row>
    <row r="24" spans="1:1">
      <c r="A24" s="7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85bb3b0-485b-4e28-a203-ea106bc97c71" xsi:nil="true"/>
    <lcf76f155ced4ddcb4097134ff3c332f xmlns="7979c35b-c265-4f00-818f-a78a58950df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F15C3377DF0844295C90AC19E64A98C" ma:contentTypeVersion="11" ma:contentTypeDescription="Create a new document." ma:contentTypeScope="" ma:versionID="72dcfe6dc3276c2262661fc5f994fc9b">
  <xsd:schema xmlns:xsd="http://www.w3.org/2001/XMLSchema" xmlns:xs="http://www.w3.org/2001/XMLSchema" xmlns:p="http://schemas.microsoft.com/office/2006/metadata/properties" xmlns:ns2="7979c35b-c265-4f00-818f-a78a58950df3" xmlns:ns3="085bb3b0-485b-4e28-a203-ea106bc97c71" targetNamespace="http://schemas.microsoft.com/office/2006/metadata/properties" ma:root="true" ma:fieldsID="a958eeedb035d72572d87615795c9ce0" ns2:_="" ns3:_="">
    <xsd:import namespace="7979c35b-c265-4f00-818f-a78a58950df3"/>
    <xsd:import namespace="085bb3b0-485b-4e28-a203-ea106bc97c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9c35b-c265-4f00-818f-a78a58950d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16867a8-d3dd-450c-8722-94d742a2a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85bb3b0-485b-4e28-a203-ea106bc97c7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6cb843-fc39-4238-be4c-c7e20b407599}" ma:internalName="TaxCatchAll" ma:showField="CatchAllData" ma:web="085bb3b0-485b-4e28-a203-ea106bc97c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52D26450-AC9F-48EE-93BD-D81FEB862833}"/>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Loreli Olien</dc:creator>
  <cp:keywords/>
  <dc:description/>
  <cp:lastModifiedBy>Hanzhi Chen</cp:lastModifiedBy>
  <cp:revision/>
  <dcterms:created xsi:type="dcterms:W3CDTF">2026-02-20T16:30:25Z</dcterms:created>
  <dcterms:modified xsi:type="dcterms:W3CDTF">2026-05-02T02:20:00Z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0x0101007F15C3377DF0844295C90AC19E64A98C</vt:lpwstr>
  </property>
  <property fmtid="{D5CDD505-2E9C-101B-9397-08002B2CF9AE}" pid="3" name="MediaServiceImageTags">
    <vt:lpwstr/>
  </property>
</Properties>
</file>